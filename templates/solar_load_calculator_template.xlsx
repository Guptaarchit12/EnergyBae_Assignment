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Input" sheetId="1" state="visible" r:id="rId1"/>
    <sheet name="Solar Sizing" sheetId="2" state="visible" r:id="rId2"/>
    <sheet name="Customer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#,##0.0 &quot;kWh&quot;"/>
    <numFmt numFmtId="166" formatCode="&quot;₹&quot;#,##0"/>
    <numFmt numFmtId="167" formatCode="0.0&quot; kWp&quot;"/>
    <numFmt numFmtId="168" formatCode="0&quot; panels&quot;"/>
    <numFmt numFmtId="169" formatCode="0&quot; sq.m&quot;"/>
    <numFmt numFmtId="170" formatCode="#,##0.0&quot; kWh/yr&quot;"/>
    <numFmt numFmtId="171" formatCode="0.0&quot; years&quot;"/>
    <numFmt numFmtId="172" formatCode="0.0%"/>
    <numFmt numFmtId="173" formatCode="#,##0&quot; kg CO₂/yr&quot;"/>
    <numFmt numFmtId="174" formatCode="#,##0&quot; trees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B5E20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b val="1"/>
      <sz val="10"/>
    </font>
    <font>
      <name val="Arial"/>
      <b val="1"/>
      <color rgb="00FFFFFF"/>
      <sz val="16"/>
    </font>
    <font>
      <name val="Arial"/>
      <i val="1"/>
      <color rgb="001B5E20"/>
      <sz val="9"/>
    </font>
    <font>
      <name val="Arial"/>
      <b val="1"/>
      <sz val="11"/>
    </font>
    <font>
      <name val="Arial"/>
      <color rgb="00000000"/>
      <sz val="11"/>
    </font>
    <font>
      <name val="Arial"/>
      <b val="1"/>
      <color rgb="001B5E20"/>
      <sz val="11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A5D6A7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left" vertical="center"/>
    </xf>
    <xf numFmtId="49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left" vertical="center"/>
    </xf>
    <xf numFmtId="2" fontId="6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indent="1"/>
    </xf>
    <xf numFmtId="0" fontId="14" fillId="1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6" fontId="14" fillId="10" borderId="1" applyAlignment="1" pivotButton="0" quotePrefix="0" xfId="0">
      <alignment horizontal="center" vertical="center"/>
    </xf>
    <xf numFmtId="167" fontId="15" fillId="9" borderId="1" applyAlignment="1" pivotButton="0" quotePrefix="0" xfId="0">
      <alignment horizontal="center" vertical="center"/>
    </xf>
    <xf numFmtId="168" fontId="14" fillId="10" borderId="1" applyAlignment="1" pivotButton="0" quotePrefix="0" xfId="0">
      <alignment horizontal="center" vertical="center"/>
    </xf>
    <xf numFmtId="169" fontId="14" fillId="10" borderId="1" applyAlignment="1" pivotButton="0" quotePrefix="0" xfId="0">
      <alignment horizontal="center" vertical="center"/>
    </xf>
    <xf numFmtId="170" fontId="14" fillId="10" borderId="1" applyAlignment="1" pivotButton="0" quotePrefix="0" xfId="0">
      <alignment horizontal="center" vertical="center"/>
    </xf>
    <xf numFmtId="166" fontId="15" fillId="9" borderId="1" applyAlignment="1" pivotButton="0" quotePrefix="0" xfId="0">
      <alignment horizontal="center" vertical="center"/>
    </xf>
    <xf numFmtId="171" fontId="15" fillId="9" borderId="1" applyAlignment="1" pivotButton="0" quotePrefix="0" xfId="0">
      <alignment horizontal="center" vertical="center"/>
    </xf>
    <xf numFmtId="172" fontId="14" fillId="10" borderId="1" applyAlignment="1" pivotButton="0" quotePrefix="0" xfId="0">
      <alignment horizontal="center" vertical="center"/>
    </xf>
    <xf numFmtId="173" fontId="14" fillId="10" borderId="1" applyAlignment="1" pivotButton="0" quotePrefix="0" xfId="0">
      <alignment horizontal="center" vertical="center"/>
    </xf>
    <xf numFmtId="174" fontId="14" fillId="1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8" customWidth="1" min="3" max="3"/>
    <col width="26" customWidth="1" min="4" max="4"/>
    <col width="18" customWidth="1" min="5" max="5"/>
  </cols>
  <sheetData>
    <row r="1" ht="36" customHeight="1">
      <c r="A1" s="1" t="inlineStr">
        <is>
          <t>⚡ ENERGYBAE — Solar Load Calculator</t>
        </is>
      </c>
    </row>
    <row r="2" ht="20" customHeight="1">
      <c r="A2" s="2" t="inlineStr">
        <is>
          <t>Electricity Bill Data Extraction — MSEDCL / Maharashtra</t>
        </is>
      </c>
    </row>
    <row r="3" ht="18" customHeight="1">
      <c r="A3" s="3" t="inlineStr">
        <is>
          <t>🟡 Yellow = Input cells (fill from bill)    🟠 Orange = Auto-calculated    🔵 Blue = Output / Results</t>
        </is>
      </c>
    </row>
    <row r="4" ht="22" customHeight="1">
      <c r="A4" s="4" t="inlineStr">
        <is>
          <t xml:space="preserve">  A. CUSTOMER INFORMATION</t>
        </is>
      </c>
    </row>
    <row r="5">
      <c r="A5" s="5" t="inlineStr">
        <is>
          <t>Consumer Name</t>
        </is>
      </c>
      <c r="B5" s="6" t="inlineStr"/>
      <c r="C5" s="5" t="inlineStr">
        <is>
          <t>Consumer Number</t>
        </is>
      </c>
      <c r="D5" s="6" t="inlineStr"/>
    </row>
    <row r="6">
      <c r="A6" s="5" t="inlineStr">
        <is>
          <t>Address</t>
        </is>
      </c>
      <c r="B6" s="6" t="inlineStr"/>
      <c r="C6" s="5" t="inlineStr">
        <is>
          <t>Tariff Category</t>
        </is>
      </c>
      <c r="D6" s="6" t="inlineStr"/>
    </row>
    <row r="7">
      <c r="A7" s="5" t="inlineStr">
        <is>
          <t>Discom / Utility</t>
        </is>
      </c>
      <c r="B7" s="6" t="inlineStr">
        <is>
          <t>MSEDCL</t>
        </is>
      </c>
      <c r="C7" s="5" t="inlineStr">
        <is>
          <t>Division / Sub-div</t>
        </is>
      </c>
      <c r="D7" s="6" t="inlineStr"/>
    </row>
    <row r="8">
      <c r="A8" s="5" t="inlineStr">
        <is>
          <t>Bill Month</t>
        </is>
      </c>
      <c r="B8" s="6" t="inlineStr"/>
      <c r="C8" s="5" t="inlineStr">
        <is>
          <t>Bill Date</t>
        </is>
      </c>
      <c r="D8" s="6" t="inlineStr"/>
    </row>
    <row r="9">
      <c r="A9" s="5" t="inlineStr">
        <is>
          <t>Meter Number</t>
        </is>
      </c>
      <c r="B9" s="6" t="inlineStr"/>
      <c r="C9" s="5" t="inlineStr">
        <is>
          <t>Sanctioned Load (kW)</t>
        </is>
      </c>
      <c r="D9" s="6" t="inlineStr"/>
    </row>
    <row r="11" ht="22" customHeight="1">
      <c r="A11" s="4" t="inlineStr">
        <is>
          <t xml:space="preserve">  B. MONTHLY CONSUMPTION (Units / kWh)</t>
        </is>
      </c>
    </row>
    <row r="12" ht="20" customHeight="1">
      <c r="A12" s="7" t="inlineStr">
        <is>
          <t>Month</t>
        </is>
      </c>
      <c r="B12" s="7" t="inlineStr">
        <is>
          <t>Jan</t>
        </is>
      </c>
      <c r="C12" s="7" t="inlineStr">
        <is>
          <t>Feb</t>
        </is>
      </c>
      <c r="D12" s="7" t="inlineStr">
        <is>
          <t>Mar</t>
        </is>
      </c>
      <c r="E12" s="7" t="inlineStr">
        <is>
          <t>Apr</t>
        </is>
      </c>
      <c r="F12" s="7" t="inlineStr">
        <is>
          <t>May</t>
        </is>
      </c>
      <c r="G12" s="7" t="inlineStr">
        <is>
          <t>Jun</t>
        </is>
      </c>
      <c r="H12" s="7" t="inlineStr">
        <is>
          <t>Jul</t>
        </is>
      </c>
      <c r="I12" s="7" t="inlineStr">
        <is>
          <t>Aug</t>
        </is>
      </c>
      <c r="J12" s="7" t="inlineStr">
        <is>
          <t>Sep</t>
        </is>
      </c>
      <c r="K12" s="7" t="inlineStr">
        <is>
          <t>Oct</t>
        </is>
      </c>
      <c r="L12" s="7" t="inlineStr">
        <is>
          <t>Nov</t>
        </is>
      </c>
      <c r="M12" s="7" t="inlineStr">
        <is>
          <t>Dec</t>
        </is>
      </c>
    </row>
    <row r="13" ht="22" customHeight="1">
      <c r="A13" s="5" t="inlineStr">
        <is>
          <t>Units (kWh)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9" t="inlineStr">
        <is>
          <t>Average Monthly (kWh)</t>
        </is>
      </c>
      <c r="B14" s="10">
        <f>IFERROR(AVERAGE(B13:M13),"")</f>
        <v/>
      </c>
      <c r="C14" s="9" t="inlineStr">
        <is>
          <t>Peak Month (kWh)</t>
        </is>
      </c>
      <c r="D14" s="10">
        <f>IFERROR(MAX(B13:M13),"")</f>
        <v/>
      </c>
      <c r="E14" s="11" t="inlineStr"/>
    </row>
    <row r="16" ht="22" customHeight="1">
      <c r="A16" s="4" t="inlineStr">
        <is>
          <t xml:space="preserve">  C. BILL DETAILS &amp; TARIFF</t>
        </is>
      </c>
    </row>
    <row r="17">
      <c r="A17" s="5" t="inlineStr">
        <is>
          <t>Total Units Consumed (Latest Bill)</t>
        </is>
      </c>
      <c r="B17" s="12" t="inlineStr"/>
      <c r="C17" s="5" t="inlineStr">
        <is>
          <t>Bill Amount (₹)</t>
        </is>
      </c>
      <c r="D17" s="13" t="inlineStr"/>
    </row>
    <row r="18">
      <c r="A18" s="5" t="inlineStr">
        <is>
          <t>Fixed / Demand Charges (₹)</t>
        </is>
      </c>
      <c r="B18" s="13" t="inlineStr"/>
      <c r="C18" s="5" t="inlineStr">
        <is>
          <t>Electricity Duty (₹)</t>
        </is>
      </c>
      <c r="D18" s="13" t="inlineStr"/>
    </row>
    <row r="19">
      <c r="A19" s="5" t="inlineStr">
        <is>
          <t>Fuel Adjustment Charge (₹)</t>
        </is>
      </c>
      <c r="B19" s="13" t="inlineStr"/>
      <c r="C19" s="5" t="inlineStr">
        <is>
          <t>Meter Rent / Other (₹)</t>
        </is>
      </c>
      <c r="D19" s="13" t="inlineStr"/>
    </row>
    <row r="20">
      <c r="A20" s="5" t="inlineStr">
        <is>
          <t>Subsidies / Rebate (₹)</t>
        </is>
      </c>
      <c r="B20" s="13" t="inlineStr"/>
      <c r="C20" s="5" t="inlineStr">
        <is>
          <t>Net Payable Amount (₹)</t>
        </is>
      </c>
      <c r="D20" s="13" t="inlineStr"/>
    </row>
    <row r="21">
      <c r="A21" s="5" t="inlineStr">
        <is>
          <t>Tariff Slab (e.g. LT-II)</t>
        </is>
      </c>
      <c r="B21" s="14" t="inlineStr"/>
      <c r="C21" s="5" t="inlineStr">
        <is>
          <t>Rate per Unit (₹/kWh)</t>
        </is>
      </c>
      <c r="D21" s="13" t="inlineStr"/>
    </row>
    <row r="22">
      <c r="A22" s="5" t="inlineStr">
        <is>
          <t>Connected Load (kW)</t>
        </is>
      </c>
      <c r="B22" s="15" t="inlineStr"/>
      <c r="C22" s="5" t="inlineStr">
        <is>
          <t>Power Factor</t>
        </is>
      </c>
      <c r="D22" s="16" t="inlineStr"/>
    </row>
  </sheetData>
  <mergeCells count="6">
    <mergeCell ref="A4:E4"/>
    <mergeCell ref="A2:E2"/>
    <mergeCell ref="A16:E16"/>
    <mergeCell ref="A11:E1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30" customWidth="1" min="4" max="4"/>
    <col width="22" customWidth="1" min="5" max="5"/>
  </cols>
  <sheetData>
    <row r="1" ht="36" customHeight="1">
      <c r="A1" s="1" t="inlineStr">
        <is>
          <t>⚡ ENERGYBAE — Solar System Sizing Engine</t>
        </is>
      </c>
    </row>
    <row r="2" ht="18" customHeight="1">
      <c r="A2" s="2" t="inlineStr">
        <is>
          <t>Auto-calculated from Bill Input sheet — do not manually edit formula cells</t>
        </is>
      </c>
    </row>
    <row r="3" ht="22" customHeight="1">
      <c r="A3" s="4" t="inlineStr">
        <is>
          <t xml:space="preserve">  1. SYSTEM ASSUMPTIONS (Editable)</t>
        </is>
      </c>
    </row>
    <row r="4" ht="20" customHeight="1">
      <c r="A4" s="5" t="inlineStr">
        <is>
          <t>Peak Sun Hours (PSH) — Maharashtra</t>
        </is>
      </c>
      <c r="B4" s="17" t="n">
        <v>4.5</v>
      </c>
      <c r="C4" s="18" t="inlineStr">
        <is>
          <t>hrs/day</t>
        </is>
      </c>
      <c r="D4" s="19" t="inlineStr">
        <is>
          <t>Avg solar irradiance for Pune/MH region</t>
        </is>
      </c>
    </row>
    <row r="5" ht="20" customHeight="1">
      <c r="A5" s="5" t="inlineStr">
        <is>
          <t>System Efficiency</t>
        </is>
      </c>
      <c r="B5" s="17" t="n">
        <v>0.8</v>
      </c>
      <c r="C5" s="18" t="inlineStr"/>
      <c r="D5" s="19" t="inlineStr">
        <is>
          <t>Accounts for inverter, wiring, soiling losses</t>
        </is>
      </c>
    </row>
    <row r="6" ht="20" customHeight="1">
      <c r="A6" s="5" t="inlineStr">
        <is>
          <t>Performance Ratio</t>
        </is>
      </c>
      <c r="B6" s="17" t="n">
        <v>0.75</v>
      </c>
      <c r="C6" s="18" t="inlineStr"/>
      <c r="D6" s="19" t="inlineStr">
        <is>
          <t>Typical PR for rooftop systems in India</t>
        </is>
      </c>
    </row>
    <row r="7" ht="20" customHeight="1">
      <c r="A7" s="5" t="inlineStr">
        <is>
          <t>Cost per kWp (On-Grid)</t>
        </is>
      </c>
      <c r="B7" s="17" t="n">
        <v>45000</v>
      </c>
      <c r="C7" s="18" t="inlineStr">
        <is>
          <t>₹/kWp</t>
        </is>
      </c>
      <c r="D7" s="19" t="inlineStr">
        <is>
          <t>Market rate as of 2024-25; adjust as needed</t>
        </is>
      </c>
    </row>
    <row r="8" ht="20" customHeight="1">
      <c r="A8" s="5" t="inlineStr">
        <is>
          <t>Cost per kWp (Off-Grid/Hybrid)</t>
        </is>
      </c>
      <c r="B8" s="17" t="n">
        <v>65000</v>
      </c>
      <c r="C8" s="18" t="inlineStr">
        <is>
          <t>₹/kWp</t>
        </is>
      </c>
      <c r="D8" s="19" t="inlineStr">
        <is>
          <t>Includes battery storage</t>
        </is>
      </c>
    </row>
    <row r="9" ht="20" customHeight="1">
      <c r="A9" s="5" t="inlineStr">
        <is>
          <t>Annual Degradation Rate</t>
        </is>
      </c>
      <c r="B9" s="17" t="n">
        <v>0.007</v>
      </c>
      <c r="C9" s="18" t="inlineStr"/>
      <c r="D9" s="19" t="inlineStr">
        <is>
          <t>0.7% per year — standard poly/mono panels</t>
        </is>
      </c>
    </row>
    <row r="10" ht="20" customHeight="1">
      <c r="A10" s="5" t="inlineStr">
        <is>
          <t>Net Metering Applicable?</t>
        </is>
      </c>
      <c r="B10" s="17" t="inlineStr">
        <is>
          <t>Yes</t>
        </is>
      </c>
      <c r="C10" s="18" t="inlineStr"/>
      <c r="D10" s="19" t="inlineStr">
        <is>
          <t>Yes/No — affects savings calculation</t>
        </is>
      </c>
    </row>
    <row r="11" ht="20" customHeight="1">
      <c r="A11" s="5" t="inlineStr">
        <is>
          <t>Grid Electricity Rate (₹/kWh)</t>
        </is>
      </c>
      <c r="B11" s="17" t="n">
        <v>9</v>
      </c>
      <c r="C11" s="18" t="inlineStr">
        <is>
          <t>₹/kWh</t>
        </is>
      </c>
      <c r="D11" s="19" t="inlineStr">
        <is>
          <t>Pull from Bill Input D21 or enter manually</t>
        </is>
      </c>
    </row>
    <row r="12" ht="20" customHeight="1">
      <c r="A12" s="5" t="inlineStr">
        <is>
          <t>Annual Electricity Escalation</t>
        </is>
      </c>
      <c r="B12" s="17" t="n">
        <v>0.05</v>
      </c>
      <c r="C12" s="18" t="inlineStr"/>
      <c r="D12" s="19" t="inlineStr">
        <is>
          <t>5% YoY tariff increase assumption</t>
        </is>
      </c>
    </row>
    <row r="13" ht="20" customHeight="1">
      <c r="A13" s="5" t="inlineStr">
        <is>
          <t>System Lifespan</t>
        </is>
      </c>
      <c r="B13" s="17" t="n">
        <v>25</v>
      </c>
      <c r="C13" s="18" t="inlineStr">
        <is>
          <t>years</t>
        </is>
      </c>
      <c r="D13" s="19" t="inlineStr">
        <is>
          <t>Standard warranty period</t>
        </is>
      </c>
    </row>
    <row r="14" ht="20" customHeight="1">
      <c r="A14" s="5" t="inlineStr">
        <is>
          <t>Subsidy (PM Surya Ghar scheme)</t>
        </is>
      </c>
      <c r="B14" s="17" t="n">
        <v>0.3</v>
      </c>
      <c r="C14" s="18" t="inlineStr"/>
      <c r="D14" s="19" t="inlineStr">
        <is>
          <t>30% central govt subsidy on system cost</t>
        </is>
      </c>
    </row>
    <row r="16" ht="22" customHeight="1">
      <c r="A16" s="4" t="inlineStr">
        <is>
          <t xml:space="preserve">  2. ENERGY DEMAND ANALYSIS</t>
        </is>
      </c>
    </row>
    <row r="17" ht="20" customHeight="1">
      <c r="A17" s="20" t="inlineStr">
        <is>
          <t>Average Monthly Consumption (kWh)</t>
        </is>
      </c>
      <c r="B17" s="21">
        <f>'Bill Input'!B14</f>
        <v/>
      </c>
      <c r="C17" s="11" t="inlineStr">
        <is>
          <t>kWh/month</t>
        </is>
      </c>
      <c r="D17" s="19" t="inlineStr">
        <is>
          <t>Pulled from Bill Input — average of 12 months</t>
        </is>
      </c>
    </row>
    <row r="18" ht="20" customHeight="1">
      <c r="A18" s="20" t="inlineStr">
        <is>
          <t>Peak Monthly Consumption (kWh)</t>
        </is>
      </c>
      <c r="B18" s="21">
        <f>'Bill Input'!D14</f>
        <v/>
      </c>
      <c r="C18" s="11" t="inlineStr">
        <is>
          <t>kWh/month</t>
        </is>
      </c>
      <c r="D18" s="19" t="inlineStr">
        <is>
          <t>Max month — used for sizing to avoid shortfall</t>
        </is>
      </c>
    </row>
    <row r="19" ht="20" customHeight="1">
      <c r="A19" s="20" t="inlineStr">
        <is>
          <t>Daily Energy Requirement (avg)</t>
        </is>
      </c>
      <c r="B19" s="21">
        <f>IFERROR(B17/30,"")</f>
        <v/>
      </c>
      <c r="C19" s="11" t="inlineStr">
        <is>
          <t>kWh/day</t>
        </is>
      </c>
      <c r="D19" s="19" t="inlineStr">
        <is>
          <t>B17 / 30 days</t>
        </is>
      </c>
    </row>
    <row r="20" ht="20" customHeight="1">
      <c r="A20" s="20" t="inlineStr">
        <is>
          <t>Daily Energy Requirement (peak)</t>
        </is>
      </c>
      <c r="B20" s="21">
        <f>IFERROR(B18/30,"")</f>
        <v/>
      </c>
      <c r="C20" s="11" t="inlineStr">
        <is>
          <t>kWh/day</t>
        </is>
      </c>
      <c r="D20" s="19" t="inlineStr">
        <is>
          <t>B18 / 30 days — conservative sizing basis</t>
        </is>
      </c>
    </row>
    <row r="21" ht="20" customHeight="1">
      <c r="A21" s="20" t="inlineStr">
        <is>
          <t>Annual Energy Consumption</t>
        </is>
      </c>
      <c r="B21" s="21">
        <f>IFERROR(B17*12,"")</f>
        <v/>
      </c>
      <c r="C21" s="11" t="inlineStr">
        <is>
          <t>kWh/year</t>
        </is>
      </c>
      <c r="D21" s="19" t="inlineStr">
        <is>
          <t>Annualised from average monthly</t>
        </is>
      </c>
    </row>
    <row r="23" ht="22" customHeight="1">
      <c r="A23" s="4" t="inlineStr">
        <is>
          <t xml:space="preserve">  3. RECOMMENDED SOLAR SYSTEM SIZE</t>
        </is>
      </c>
    </row>
    <row r="24" ht="20" customHeight="1">
      <c r="A24" s="20" t="inlineStr">
        <is>
          <t>Solar Capacity Required (avg basis)</t>
        </is>
      </c>
      <c r="B24" s="21">
        <f>IFERROR(B19/(B4*B5),"")</f>
        <v/>
      </c>
      <c r="C24" s="11" t="inlineStr">
        <is>
          <t>kWp</t>
        </is>
      </c>
      <c r="D24" s="19" t="inlineStr">
        <is>
          <t>Daily kWh ÷ (PSH × System Efficiency)</t>
        </is>
      </c>
    </row>
    <row r="25" ht="20" customHeight="1">
      <c r="A25" s="20" t="inlineStr">
        <is>
          <t>Solar Capacity Required (peak basis)</t>
        </is>
      </c>
      <c r="B25" s="21">
        <f>IFERROR(B20/(B4*B5),"")</f>
        <v/>
      </c>
      <c r="C25" s="11" t="inlineStr">
        <is>
          <t>kWp</t>
        </is>
      </c>
      <c r="D25" s="19" t="inlineStr">
        <is>
          <t>Peak daily kWh ÷ (PSH × System Efficiency) — recommended</t>
        </is>
      </c>
    </row>
    <row r="26" ht="20" customHeight="1">
      <c r="A26" s="5" t="inlineStr">
        <is>
          <t>Recommended System Size (rounded)</t>
        </is>
      </c>
      <c r="B26" s="22">
        <f>IFERROR(CEILING(B25,1),"")</f>
        <v/>
      </c>
      <c r="C26" s="23" t="inlineStr">
        <is>
          <t>kWp</t>
        </is>
      </c>
      <c r="D26" s="19" t="inlineStr">
        <is>
          <t>Rounded up to nearest 1 kWp</t>
        </is>
      </c>
    </row>
    <row r="27" ht="20" customHeight="1">
      <c r="A27" s="20" t="inlineStr">
        <is>
          <t>Number of Solar Panels (400W)</t>
        </is>
      </c>
      <c r="B27" s="21">
        <f>IFERROR(CEILING(B26*1000/400,1),"")</f>
        <v/>
      </c>
      <c r="C27" s="11" t="inlineStr">
        <is>
          <t>panels</t>
        </is>
      </c>
      <c r="D27" s="19" t="inlineStr">
        <is>
          <t>Assuming 400W monocrystalline panels</t>
        </is>
      </c>
    </row>
    <row r="28" ht="20" customHeight="1">
      <c r="A28" s="20" t="inlineStr">
        <is>
          <t>Rooftop Area Required</t>
        </is>
      </c>
      <c r="B28" s="21">
        <f>IFERROR(B26*10,"")</f>
        <v/>
      </c>
      <c r="C28" s="11" t="inlineStr">
        <is>
          <t>sq. meters</t>
        </is>
      </c>
      <c r="D28" s="19" t="inlineStr">
        <is>
          <t>~10 sq.m per kWp rule of thumb</t>
        </is>
      </c>
    </row>
    <row r="29" ht="20" customHeight="1">
      <c r="A29" s="20" t="inlineStr">
        <is>
          <t>Annual Solar Generation (Year 1)</t>
        </is>
      </c>
      <c r="B29" s="21">
        <f>IFERROR(B26*B4*365*B6,"")</f>
        <v/>
      </c>
      <c r="C29" s="11" t="inlineStr">
        <is>
          <t>kWh/year</t>
        </is>
      </c>
      <c r="D29" s="19" t="inlineStr">
        <is>
          <t>Capacity × PSH × 365 × Performance Ratio</t>
        </is>
      </c>
    </row>
    <row r="30" ht="20" customHeight="1">
      <c r="A30" s="20" t="inlineStr">
        <is>
          <t>Solar Coverage Ratio</t>
        </is>
      </c>
      <c r="B30" s="21">
        <f>IFERROR(B29/B21,"")</f>
        <v/>
      </c>
      <c r="C30" s="11" t="inlineStr"/>
      <c r="D30" s="19" t="inlineStr">
        <is>
          <t>Solar generation ÷ Annual consumption (aim &gt;0.9)</t>
        </is>
      </c>
    </row>
    <row r="32" ht="22" customHeight="1">
      <c r="A32" s="4" t="inlineStr">
        <is>
          <t xml:space="preserve">  4. FINANCIAL ANALYSIS</t>
        </is>
      </c>
    </row>
    <row r="33" ht="20" customHeight="1">
      <c r="A33" s="20" t="inlineStr">
        <is>
          <t>System Cost (On-Grid, before subsidy)</t>
        </is>
      </c>
      <c r="B33" s="21">
        <f>IFERROR(B26*B7,"")</f>
        <v/>
      </c>
      <c r="C33" s="11" t="inlineStr">
        <is>
          <t>₹</t>
        </is>
      </c>
      <c r="D33" s="19" t="inlineStr">
        <is>
          <t>Recommended size × cost per kWp</t>
        </is>
      </c>
    </row>
    <row r="34" ht="20" customHeight="1">
      <c r="A34" s="20" t="inlineStr">
        <is>
          <t>Subsidy Amount</t>
        </is>
      </c>
      <c r="B34" s="21">
        <f>IFERROR(B33*B14,"")</f>
        <v/>
      </c>
      <c r="C34" s="11" t="inlineStr">
        <is>
          <t>₹</t>
        </is>
      </c>
      <c r="D34" s="19" t="inlineStr">
        <is>
          <t>PM Surya Ghar or applicable state subsidy</t>
        </is>
      </c>
    </row>
    <row r="35" ht="20" customHeight="1">
      <c r="A35" s="5" t="inlineStr">
        <is>
          <t>Net System Cost (after subsidy)</t>
        </is>
      </c>
      <c r="B35" s="22">
        <f>IFERROR(B33-B34,"")</f>
        <v/>
      </c>
      <c r="C35" s="23" t="inlineStr">
        <is>
          <t>₹</t>
        </is>
      </c>
      <c r="D35" s="19" t="inlineStr">
        <is>
          <t>Customer's actual investment</t>
        </is>
      </c>
    </row>
    <row r="36" ht="20" customHeight="1">
      <c r="A36" s="20" t="inlineStr">
        <is>
          <t>Annual Electricity Bill (current)</t>
        </is>
      </c>
      <c r="B36" s="21">
        <f>'Bill Input'!D20*12</f>
        <v/>
      </c>
      <c r="C36" s="11" t="inlineStr">
        <is>
          <t>₹/year</t>
        </is>
      </c>
      <c r="D36" s="19" t="inlineStr">
        <is>
          <t>Net Payable (monthly) × 12</t>
        </is>
      </c>
    </row>
    <row r="37" ht="20" customHeight="1">
      <c r="A37" s="20" t="inlineStr">
        <is>
          <t>Annual Savings — Year 1</t>
        </is>
      </c>
      <c r="B37" s="21">
        <f>IFERROR(B29*B11,"")</f>
        <v/>
      </c>
      <c r="C37" s="11" t="inlineStr">
        <is>
          <t>₹/year</t>
        </is>
      </c>
      <c r="D37" s="19" t="inlineStr">
        <is>
          <t>Solar generation × grid rate</t>
        </is>
      </c>
    </row>
    <row r="38" ht="20" customHeight="1">
      <c r="A38" s="5" t="inlineStr">
        <is>
          <t>Simple Payback Period</t>
        </is>
      </c>
      <c r="B38" s="22">
        <f>IFERROR(B35/B37,"")</f>
        <v/>
      </c>
      <c r="C38" s="23" t="inlineStr">
        <is>
          <t>years</t>
        </is>
      </c>
      <c r="D38" s="19" t="inlineStr">
        <is>
          <t>Net cost ÷ Year-1 savings</t>
        </is>
      </c>
    </row>
    <row r="39" ht="20" customHeight="1">
      <c r="A39" s="5" t="inlineStr">
        <is>
          <t>25-Year Cumulative Savings</t>
        </is>
      </c>
      <c r="B39" s="22">
        <f>IFERROR(B37*((1-(1+B12)^(-B13))/B12)*(1+B12),"")</f>
        <v/>
      </c>
      <c r="C39" s="23" t="inlineStr">
        <is>
          <t>₹</t>
        </is>
      </c>
      <c r="D39" s="19" t="inlineStr">
        <is>
          <t>NPV of escalating savings over lifespan</t>
        </is>
      </c>
    </row>
    <row r="40" ht="20" customHeight="1">
      <c r="A40" s="5" t="inlineStr">
        <is>
          <t>ROI (25 years)</t>
        </is>
      </c>
      <c r="B40" s="22">
        <f>IFERROR((B39-B35)/B35,"")</f>
        <v/>
      </c>
      <c r="C40" s="23" t="inlineStr"/>
      <c r="D40" s="19" t="inlineStr">
        <is>
          <t>Total return on investment</t>
        </is>
      </c>
    </row>
    <row r="42" ht="22" customHeight="1">
      <c r="A42" s="4" t="inlineStr">
        <is>
          <t xml:space="preserve">  5. ENVIRONMENTAL IMPACT</t>
        </is>
      </c>
    </row>
    <row r="43" ht="20" customHeight="1">
      <c r="A43" s="20" t="inlineStr">
        <is>
          <t>CO₂ Avoided per Year</t>
        </is>
      </c>
      <c r="B43" s="21">
        <f>IFERROR(B29*0.82,"")</f>
        <v/>
      </c>
      <c r="C43" s="11" t="inlineStr">
        <is>
          <t>kg CO₂/year</t>
        </is>
      </c>
      <c r="D43" s="19" t="inlineStr">
        <is>
          <t>India grid emission factor: 0.82 kg CO₂/kWh (CEA 2023)</t>
        </is>
      </c>
    </row>
    <row r="44" ht="20" customHeight="1">
      <c r="A44" s="20" t="inlineStr">
        <is>
          <t>Trees Equivalent per Year</t>
        </is>
      </c>
      <c r="B44" s="21">
        <f>IFERROR(B43/21,"")</f>
        <v/>
      </c>
      <c r="C44" s="11" t="inlineStr">
        <is>
          <t>trees</t>
        </is>
      </c>
      <c r="D44" s="19" t="inlineStr">
        <is>
          <t>~21 kg CO₂ absorbed per tree per year</t>
        </is>
      </c>
    </row>
    <row r="45" ht="20" customHeight="1">
      <c r="A45" s="20" t="inlineStr">
        <is>
          <t>Lifetime CO₂ Avoided</t>
        </is>
      </c>
      <c r="B45" s="21">
        <f>IFERROR(B43*B13,"")</f>
        <v/>
      </c>
      <c r="C45" s="11" t="inlineStr">
        <is>
          <t>kg CO₂</t>
        </is>
      </c>
      <c r="D45" s="19" t="inlineStr">
        <is>
          <t>Over 25-year system lifespan</t>
        </is>
      </c>
    </row>
  </sheetData>
  <mergeCells count="7">
    <mergeCell ref="A2:E2"/>
    <mergeCell ref="A16:E16"/>
    <mergeCell ref="A42:E42"/>
    <mergeCell ref="A1:E1"/>
    <mergeCell ref="A23:E23"/>
    <mergeCell ref="A32:E3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6" customWidth="1" min="3" max="3"/>
    <col width="4" customWidth="1" min="4" max="4"/>
  </cols>
  <sheetData>
    <row r="1" ht="44" customHeight="1">
      <c r="B1" s="24" t="inlineStr">
        <is>
          <t>ENERGYBAE — Solar Proposal Summary</t>
        </is>
      </c>
    </row>
    <row r="2" ht="18" customHeight="1">
      <c r="B2" s="25" t="inlineStr">
        <is>
          <t>www.energybae.in  |  +91 9112233120  |  energybae.co@gmail.com</t>
        </is>
      </c>
    </row>
    <row r="4" ht="24" customHeight="1">
      <c r="B4" s="4" t="inlineStr">
        <is>
          <t xml:space="preserve">  CUSTOMER DETAILS</t>
        </is>
      </c>
    </row>
    <row r="5" ht="22" customHeight="1">
      <c r="B5" s="26" t="inlineStr">
        <is>
          <t>Customer Name</t>
        </is>
      </c>
      <c r="C5" s="27">
        <f>'Bill Input'!B5</f>
        <v/>
      </c>
    </row>
    <row r="6" ht="22" customHeight="1">
      <c r="B6" s="26" t="inlineStr">
        <is>
          <t>Consumer Number</t>
        </is>
      </c>
      <c r="C6" s="27">
        <f>'Bill Input'!D5</f>
        <v/>
      </c>
    </row>
    <row r="7" ht="22" customHeight="1">
      <c r="B7" s="26" t="inlineStr">
        <is>
          <t>Address</t>
        </is>
      </c>
      <c r="C7" s="27">
        <f>'Bill Input'!B6</f>
        <v/>
      </c>
    </row>
    <row r="8" ht="22" customHeight="1">
      <c r="B8" s="26" t="inlineStr">
        <is>
          <t>Tariff Category</t>
        </is>
      </c>
      <c r="C8" s="27">
        <f>'Bill Input'!D6</f>
        <v/>
      </c>
    </row>
    <row r="10" ht="24" customHeight="1">
      <c r="B10" s="4" t="inlineStr">
        <is>
          <t xml:space="preserve">  CONSUMPTION SUMMARY</t>
        </is>
      </c>
    </row>
    <row r="11" ht="22" customHeight="1">
      <c r="B11" s="26" t="inlineStr">
        <is>
          <t>Average Monthly Usage</t>
        </is>
      </c>
      <c r="C11" s="28">
        <f>'Solar Sizing'!B17</f>
        <v/>
      </c>
    </row>
    <row r="12" ht="22" customHeight="1">
      <c r="B12" s="26" t="inlineStr">
        <is>
          <t>Peak Monthly Usage</t>
        </is>
      </c>
      <c r="C12" s="28">
        <f>'Solar Sizing'!B18</f>
        <v/>
      </c>
    </row>
    <row r="13" ht="22" customHeight="1">
      <c r="B13" s="26" t="inlineStr">
        <is>
          <t>Current Annual Bill</t>
        </is>
      </c>
      <c r="C13" s="29">
        <f>'Solar Sizing'!B36</f>
        <v/>
      </c>
    </row>
    <row r="15" ht="24" customHeight="1">
      <c r="B15" s="4" t="inlineStr">
        <is>
          <t xml:space="preserve">  RECOMMENDED SOLAR SOLUTION</t>
        </is>
      </c>
    </row>
    <row r="16" ht="22" customHeight="1">
      <c r="B16" s="26" t="inlineStr">
        <is>
          <t>Recommended System Size</t>
        </is>
      </c>
      <c r="C16" s="30">
        <f>'Solar Sizing'!B26</f>
        <v/>
      </c>
    </row>
    <row r="17" ht="22" customHeight="1">
      <c r="B17" s="26" t="inlineStr">
        <is>
          <t>Number of Panels (400W)</t>
        </is>
      </c>
      <c r="C17" s="31">
        <f>'Solar Sizing'!B27</f>
        <v/>
      </c>
    </row>
    <row r="18" ht="22" customHeight="1">
      <c r="B18" s="26" t="inlineStr">
        <is>
          <t>Rooftop Area Required</t>
        </is>
      </c>
      <c r="C18" s="32">
        <f>'Solar Sizing'!B28</f>
        <v/>
      </c>
    </row>
    <row r="19" ht="22" customHeight="1">
      <c r="B19" s="26" t="inlineStr">
        <is>
          <t>Annual Generation</t>
        </is>
      </c>
      <c r="C19" s="33">
        <f>'Solar Sizing'!B29</f>
        <v/>
      </c>
    </row>
    <row r="21" ht="24" customHeight="1">
      <c r="B21" s="4" t="inlineStr">
        <is>
          <t xml:space="preserve">  FINANCIAL SUMMARY</t>
        </is>
      </c>
    </row>
    <row r="22" ht="22" customHeight="1">
      <c r="B22" s="26" t="inlineStr">
        <is>
          <t>Total System Cost</t>
        </is>
      </c>
      <c r="C22" s="29">
        <f>'Solar Sizing'!B33</f>
        <v/>
      </c>
    </row>
    <row r="23" ht="22" customHeight="1">
      <c r="B23" s="26" t="inlineStr">
        <is>
          <t>Govt. Subsidy</t>
        </is>
      </c>
      <c r="C23" s="29">
        <f>'Solar Sizing'!B34</f>
        <v/>
      </c>
    </row>
    <row r="24" ht="22" customHeight="1">
      <c r="B24" s="26" t="inlineStr">
        <is>
          <t>Net Investment</t>
        </is>
      </c>
      <c r="C24" s="34">
        <f>'Solar Sizing'!B35</f>
        <v/>
      </c>
    </row>
    <row r="25" ht="22" customHeight="1">
      <c r="B25" s="26" t="inlineStr">
        <is>
          <t>Annual Savings (Year 1)</t>
        </is>
      </c>
      <c r="C25" s="29">
        <f>'Solar Sizing'!B37</f>
        <v/>
      </c>
    </row>
    <row r="26" ht="22" customHeight="1">
      <c r="B26" s="26" t="inlineStr">
        <is>
          <t>Payback Period</t>
        </is>
      </c>
      <c r="C26" s="35">
        <f>'Solar Sizing'!B38</f>
        <v/>
      </c>
    </row>
    <row r="27" ht="22" customHeight="1">
      <c r="B27" s="26" t="inlineStr">
        <is>
          <t>25-Year Savings</t>
        </is>
      </c>
      <c r="C27" s="34">
        <f>'Solar Sizing'!B39</f>
        <v/>
      </c>
    </row>
    <row r="28" ht="22" customHeight="1">
      <c r="B28" s="26" t="inlineStr">
        <is>
          <t>Return on Investment</t>
        </is>
      </c>
      <c r="C28" s="36">
        <f>'Solar Sizing'!B40</f>
        <v/>
      </c>
    </row>
    <row r="30" ht="24" customHeight="1">
      <c r="B30" s="4" t="inlineStr">
        <is>
          <t xml:space="preserve">  ENVIRONMENTAL IMPACT</t>
        </is>
      </c>
    </row>
    <row r="31" ht="22" customHeight="1">
      <c r="B31" s="26" t="inlineStr">
        <is>
          <t>CO₂ Avoided per Year</t>
        </is>
      </c>
      <c r="C31" s="37">
        <f>'Solar Sizing'!B43</f>
        <v/>
      </c>
    </row>
    <row r="32" ht="22" customHeight="1">
      <c r="B32" s="26" t="inlineStr">
        <is>
          <t>Equivalent Trees Planted</t>
        </is>
      </c>
      <c r="C32" s="38">
        <f>'Solar Sizing'!B44</f>
        <v/>
      </c>
    </row>
    <row r="34" ht="28" customHeight="1">
      <c r="B34" s="39" t="inlineStr">
        <is>
          <t>This is an AI-generated estimate. Final sizing subject to site survey. Valid 30 days from date of report.</t>
        </is>
      </c>
    </row>
  </sheetData>
  <mergeCells count="8">
    <mergeCell ref="B21:C21"/>
    <mergeCell ref="B2:C2"/>
    <mergeCell ref="B30:C30"/>
    <mergeCell ref="B15:C15"/>
    <mergeCell ref="B34:C34"/>
    <mergeCell ref="B10:C10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2026-05-07T09:42:40Z</dcterms:created>
  <dcterms:modified xsi:type="dcterms:W3CDTF">2026-05-07T09:42:40Z</dcterms:modified>
</cp:coreProperties>
</file>